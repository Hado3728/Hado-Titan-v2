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<sst xmlns="http://schemas.openxmlformats.org/spreadsheetml/2006/main" count="270" uniqueCount="136">
  <si>
    <t>CATEGORY</t>
  </si>
  <si>
    <t>COMPONENT</t>
  </si>
  <si>
    <t>QUANTITY</t>
  </si>
  <si>
    <t>UNIT PRICE</t>
  </si>
  <si>
    <t>TOTAL PRICE Rs</t>
  </si>
  <si>
    <t>PRICE in USD</t>
  </si>
  <si>
    <t>SOURCING</t>
  </si>
  <si>
    <t>PRICE CALCULATION</t>
  </si>
  <si>
    <t>Metal (laser/bend)</t>
  </si>
  <si>
    <t>Axle washers x2, 2 mm 5052 — 4 g finished</t>
  </si>
  <si>
    <t>Local Hardware Shop</t>
  </si>
  <si>
    <t>₹375/kg incl. cutting + bending</t>
  </si>
  <si>
    <t>Bearing retainer rings x2, 2 mm 5052 — 12 g finished</t>
  </si>
  <si>
    <t>Splice plates x2, 2 mm 5052 — 14 g finished</t>
  </si>
  <si>
    <t>Drive gears 27T x2, m1.5 involute, 8 mm 5052 — 44 g finished</t>
  </si>
  <si>
    <t>Weapon motor mount, 6 mm 5052 — 46 g finished</t>
  </si>
  <si>
    <t>Wheel drive plates x2, 4 mm 5052 (new with EasyMech wheels) — 53 g finished</t>
  </si>
  <si>
    <t>Pinions 18T x2, made from 4 pcs of 4 mm HR steel bolted in pairs — 64 g finished</t>
  </si>
  <si>
    <t>Motor pulley 30T HTD 5M: 5 toothed (3 mm) + 2 flanges (1.5 mm) + hub (3 mm), 5052 — 83 g finished</t>
  </si>
  <si>
    <t>Wheel-bearing doublers x2, 8 mm 5052 — 92 g finished</t>
  </si>
  <si>
    <t>Drive bulkheads x2, 8 mm 5052 — 154 g finished</t>
  </si>
  <si>
    <t>Wiring</t>
  </si>
  <si>
    <t>XT60 male pigtail, 12 AWG 10 cm (mates battery)</t>
  </si>
  <si>
    <t>https://zerodrag.in/products/zerodrag-xt-60-12awg-10cm-pigtail-cable-connector-male</t>
  </si>
  <si>
    <t>estimate</t>
  </si>
  <si>
    <t>Amass XT90H male (arming plug, short its pins with a 10–12 AWG loop)</t>
  </si>
  <si>
    <t>https://robu.in/?p=24730</t>
  </si>
  <si>
    <t>verified</t>
  </si>
  <si>
    <t>Rear wall, 3 mm 5052-H32, laser cut + rolled R50 + bent (3 mm bend deduction) — 180 g finished</t>
  </si>
  <si>
    <t>Forks x2, 4 mm HR mild steel, laser cut — 187 g finished</t>
  </si>
  <si>
    <t>Fasteners</t>
  </si>
  <si>
    <t>M3x6 countersunk, Phillips (bearing retainers) — need 8, 1 x pack of 25</t>
  </si>
  <si>
    <t>https://www.amazon.in/Rpi-shop-Phillips-Countersunk-Quantity/dp/B08HN98FS3/ref=sr_1_7?sr=8-7</t>
  </si>
  <si>
    <t>M3x25 countersunk, Phillips (motor pulley stack) — need 4, 1 x pack of 10</t>
  </si>
  <si>
    <t>https://www.amazon.in/Rpi-shop-Phillips-Countersunk-Quantity/dp/B08HNBC1L4/ref=sr_1_5?sr=8-5</t>
  </si>
  <si>
    <t>M4x10 button head (wheel-bearing doublers) — need 8, 1 x pack of 25</t>
  </si>
  <si>
    <t>https://www.amazon.in/RPISHOP-Button-Socket-Machine-Quantity/dp/B086H6XHZK/ref=sr_1_6?sr=8-6</t>
  </si>
  <si>
    <t>16 AWG silicone wire 1 m red + 1 m black</t>
  </si>
  <si>
    <t>https://roboman.in/product/high-quality-ultra-flexible-16awg-silicone-wire-1m-red-1m-black-copy/</t>
  </si>
  <si>
    <t>M4x8 button head, 10.9 black (lid into rivnuts) — need 11, 1 pack</t>
  </si>
  <si>
    <t>https://www.amazon.in/RPISHOP-Button-Socket-Machine-Quantity/dp/B086H6TFZW/ref=sr_1_2?sr=8-2</t>
  </si>
  <si>
    <t>M4x10 socket head, 12.9 black (weapon motor) — need 4, 1 x set of 12</t>
  </si>
  <si>
    <t>https://robu.in/product/easymech-set-of-m4-x-8mm-socket-head-cap-allen-bolt-and-nut-12-pcs/</t>
  </si>
  <si>
    <t>M5x16 button head, 10.9 black (forks) — need 6, 1 pack</t>
  </si>
  <si>
    <t>https://www.amazon.in/RPISHOP-Button-Socket-Machine-Quantity/dp/B086H5GRCY/ref=sr_1_8?sr=8-8</t>
  </si>
  <si>
    <t>M5 nylock nut (wheel drive plates) — need 12, 1 x pack of 25</t>
  </si>
  <si>
    <t>https://www.amazon.in/Immech-Thread-Locking-Insert-Quantity/dp/B07Z3X2YS6</t>
  </si>
  <si>
    <t>Washers M5 (forks, 12 thin) + M6 (axle ends, 2) — stainless</t>
  </si>
  <si>
    <t>https://www.amazon.in/Stainless-Steel-304Q-Plain-Washer/dp/B0H5M4TXSS/ref=sr_1_8?sr=8-8</t>
  </si>
  <si>
    <t>Bought mechanical</t>
  </si>
  <si>
    <t>EVA foam sheet 2 mm (cradle lining)</t>
  </si>
  <si>
    <t>https://www.amazon.in/Black-Sheets-Thick-Projects-Flexible/dp/B0H4D6P874/ref=sr_1_7?sr=8-7</t>
  </si>
  <si>
    <t>Amass XT90S anti-spark female (removable link socket)</t>
  </si>
  <si>
    <t>https://robu.in/product/xt90-s-anti-spark-connector-with-housing-female/</t>
  </si>
  <si>
    <t>14 AWG silicone wire 1 m red + 1 m black</t>
  </si>
  <si>
    <t>https://roboman.in/product/high-quality-ultra-flexible-14awg-silicone-wire-1m-red-1m-black/</t>
  </si>
  <si>
    <t>M6x12 socket head, black (wall to upright x4 + axle ends x2) — need 6, 1 x pack of 10</t>
  </si>
  <si>
    <t>https://www.amazon.in/Rpi-shop-Stainless-Machine-Quantity/dp/B07XDZR24X/ref=sr_1_8?nsdOptOutParam=true&amp;sr=8-8</t>
  </si>
  <si>
    <t>M4x12 countersunk Allen, high tensile (drum end caps) — need 8, 1 x pack of 50</t>
  </si>
  <si>
    <t>https://www.amazon.in/Rpi-shop-tensile-Machine-Quantity/dp/B07XY7J2CJ</t>
  </si>
  <si>
    <t>Lid, 2.5 mm 5052, laser cut — 401 g finished</t>
  </si>
  <si>
    <t>M4 steel rivnut, flat head, zinc plated (lid flanges) — need 11, 1 x pack of 100</t>
  </si>
  <si>
    <t>https://www.amazon.in/Plated-Metric-Threaded-Rivetnut-Insert/dp/B0DG6MWMDH/ref=sr_1_6?sr=8-6</t>
  </si>
  <si>
    <t>Internal circlip DIN 472, 40 mm (left drum bearing) — need 1 (+ spares)</t>
  </si>
  <si>
    <t>https://www.amazon.in/Internal-Circlip-Snap-ring-Size/dp/B0DJVN4KDN</t>
  </si>
  <si>
    <t>Amass 5.5 mm bullet connector pair (male + female), 1 per phase + 1 spare</t>
  </si>
  <si>
    <t>https://robu.in/product/amass-polymax-55mm-gold-plated-bullet-battery-connector-pair-gc5510-f-and-gc5510-m/</t>
  </si>
  <si>
    <t>Weapon uprights x4, 10 mm 5052, laser cut — 602 g finished</t>
  </si>
  <si>
    <t>M5x20 socket head, black (upright ties x6 + wheel drive plates x12) — need 18, 2 x pack of 10</t>
  </si>
  <si>
    <t>https://www.amazon.in/Rpi-shop-Stainless-Machine-Quantity/dp/B07XBSZK8R/ref=sr_1_2?sr=8-2</t>
  </si>
  <si>
    <t>M3x10 button head, 10.9 black (cradles x16, splices x8) — need 24, 2 x pack of 25</t>
  </si>
  <si>
    <t>https://www.amazon.in/RPISHOP-Button-Socket-Machine-Quantity/dp/B086H618BB/ref=sr_1_4?sr=8-4</t>
  </si>
  <si>
    <t>Servo extension leads 30 cm, pack of 10</t>
  </si>
  <si>
    <t>https://www.amazon.in/30CM-Servo-Extension-Cable-Pack/dp/B0FBLG72DJ/ref=sr_1_1?sr=8-1</t>
  </si>
  <si>
    <t>Heat shrink kit BELLOX 560 pcs, 2:1, up to 12.7 mm</t>
  </si>
  <si>
    <t>https://www.amazon.in/BELLOX-560Pieces-Heat-Shrink-Tubing/dp/B0DZXD1YLK/ref=sr_1_2_sspa?sr=8-2-spons&amp;aref=3ZYyKHS6cW&amp;sp_csd=d2lkZ2V0TmFtZT1zcF9hdGY&amp;psc=1</t>
  </si>
  <si>
    <t>Tub U-channel, 3 mm 5052-H32, laser cut + bent (3 mm bend deduction) — 709 g finished</t>
  </si>
  <si>
    <t>M3 nylock nut, stainless (cradles, splices, pulley) — need 28, 1 x pack of 50</t>
  </si>
  <si>
    <t>https://www.amazon.in/Nylock-Nuts-Pcs-Self-Locking-Anti-Loosening/dp/B0GWCVVNNC/ref=sr_1_3?sr=8-3</t>
  </si>
  <si>
    <t>Loctite 243 threadlocker, 50 ml</t>
  </si>
  <si>
    <t>https://www.amazon.in/Medium-strength-Threadlocker-Thixotropic-temperature-performance/dp/B014MMG3AM/ref=sr_1_1_sspa?nsdOptOutParam=true&amp;sr=8-1-spons&amp;aref=n2qFF6FhiS&amp;sp_csd=d2lkZ2V0TmFtZT1zcF9hdGY&amp;psc=1</t>
  </si>
  <si>
    <t>12 AWG silicone wire 1 m red + 1 m black (also covers battery to link)</t>
  </si>
  <si>
    <t>https://roboman.in/product/high-quality-ultra-flexible-12awg-silicone-wire-1m-red-1m-black/</t>
  </si>
  <si>
    <t>Machining</t>
  </si>
  <si>
    <t>Right drum end cap, 6061 (to drawing)</t>
  </si>
  <si>
    <t>local lathe</t>
  </si>
  <si>
    <t>M3x10 socket head, black (plate edges x36, gearmotor x8) — need 44, 2 x pack of 25</t>
  </si>
  <si>
    <t>https://www.amazon.in/Rpi-shop-Stainless-Machine-Quantity/dp/B07XFP714Z/ref=sr_1_1_sspa?sr=8-1-spons&amp;aref=wbGnA33q4V&amp;sp_csd=d2lkZ2V0TmFtZT1zcF9hdGY&amp;psc=1</t>
  </si>
  <si>
    <t>Electronics</t>
  </si>
  <si>
    <t>Mini UBEC 5 V 3 A (2-6S), Robocraze</t>
  </si>
  <si>
    <t>https://www.amazon.in/Robocraze-Switch-Mode-Regulator-Multi-Rotor-Indicator/dp/B0DP54JVJY/ref=sr_1_1?sr=8-1</t>
  </si>
  <si>
    <t>Bearing 6901-2RS 12x24x6, XERFU (wheel, inner), pack of 10</t>
  </si>
  <si>
    <t>https://www.amazon.in/XERFU-6901-2RS-Pieces-Rubber-Bearing/dp/B0HDRFDQR1/ref=sr_1_5?sr=8-5</t>
  </si>
  <si>
    <t>Bearing 6001-2RS 12x28x8, NBC (wheel, outer)</t>
  </si>
  <si>
    <t>https://www.amazon.in/NBC-6001-2RS-Bearing-12x28x8-Machinery/dp/B0HJ7X1JC1/ref=sr_1_11?sr=8-11</t>
  </si>
  <si>
    <t>M12x20 socket head cap screw, black (drum shaft ends) — need 2 (+ spares), 1 x pack of 10</t>
  </si>
  <si>
    <t>https://www.amazon.in/B-K-Jagan-Co-Socket-Screw-ALLEN/dp/B0BYCTD8YP/ref=sr_1_4?sr=8-4</t>
  </si>
  <si>
    <t>Lathe parts material: drum shaft Ø17 (bore 10.2, M12 both ends), 2 wheel axles Ø12, spacers — EN24/6061 bar</t>
  </si>
  <si>
    <t>https://www.amazon.in/s?k=EN24+round+bar</t>
  </si>
  <si>
    <t>Bearing 6203-2RS 17x40x12, NBC (drum)</t>
  </si>
  <si>
    <t>https://www.amazon.in/NBC-6203-2RS-Bearing-17X40X12-Machinery/dp/B0HJ87GK1L/ref=sr_1_9?sr=8-9</t>
  </si>
  <si>
    <t>Drum heat treatment: harden + temper EN24 to 45-48 HRC</t>
  </si>
  <si>
    <t>local heat treater</t>
  </si>
  <si>
    <t>3D printing</t>
  </si>
  <si>
    <t>TPU 95A parts: 11 parts, ~170 g (4 cradles, 3 motor saddles + 3 liners, link housing)</t>
  </si>
  <si>
    <t>https://st.robu.in/product/3d-printing-service</t>
  </si>
  <si>
    <t>Drum blank: EN24 round bar Ø80 x 205 mm (~8.1 kg)</t>
  </si>
  <si>
    <t>https://m.indiamart.com/impcat/en24-round-bar.html</t>
  </si>
  <si>
    <t>Timing belt HTD 280-5M-15, closed loop (one spare)</t>
  </si>
  <si>
    <t>Local hardware Shop</t>
  </si>
  <si>
    <t>Wheels: EasyMech 100 mm Modified HD disc wheel, gray, 2-pack (ream Ø11 to Ø12)</t>
  </si>
  <si>
    <t>https://robu.in/product/modified-heavy-dutyhd-disc-wheel-100mm-dia-2pc-grey-color/</t>
  </si>
  <si>
    <t>Left drum end cap + 20T HTD 5M pulley, 6061 (to drawing)</t>
  </si>
  <si>
    <t>timing-pulley maker / lathe shop</t>
  </si>
  <si>
    <t>Lathe work for the shaft, axles and spacers (manual lathe)</t>
  </si>
  <si>
    <t>Drive gearmotor Pro-Range PG36M555-19.2K (24 V, 468 rpm)</t>
  </si>
  <si>
    <t>https://robu.in/product/orange-planetary-gear-dc-motor-24v-468-rpm-72-6-n-cm-pg36m555-19-2k/</t>
  </si>
  <si>
    <t>Drive ESC Cytron SmartDriveDuo MDDS10</t>
  </si>
  <si>
    <t>https://robu.in/product/smartdriveduo-10/</t>
  </si>
  <si>
    <t>Battery Orange 6S 2500 mAh 35C (XT60)</t>
  </si>
  <si>
    <t>https://robu.in/product/orange-2500mah-6s-35c-22-2-v-lithium-polymer-battery-pack-li-po/</t>
  </si>
  <si>
    <t>Radio FlySky FS-i6X + FS-iA10B receiver</t>
  </si>
  <si>
    <t>https://robu.in/product/flysky-fs-i6x-2-4ghz-10ch-afhds-2a-rc-transmitter-with-fs-ia10b-2-4ghz-10ch-receiver/</t>
  </si>
  <si>
    <t>Drum body CNC: EN24, turn Ø64, bore Ø54 straight through, mill 2 wedges, tap 8 x M4</t>
  </si>
  <si>
    <t>local CNC job shop (Peenya)</t>
  </si>
  <si>
    <t>Weapon ESC ZeroDrag BOOST AM32 55A 4-in-1 (includes 35 V 1000 µF cap + XT60H pigtail)</t>
  </si>
  <si>
    <t>https://zbotic.in/product/zerodrag-boost-am32-55a-4-in-1-esc-made-in-india/</t>
  </si>
  <si>
    <t>Weapon motor Flipsky 5065 270KV (8 mm keyed shaft)</t>
  </si>
  <si>
    <t>https://www.technobotix.in/products/flipsky-5065-270kv-1550w-bldc-electric-skateboard-motor/1781252000000062912</t>
  </si>
  <si>
    <t>Support (not on the robot)</t>
  </si>
  <si>
    <t>12 V 5 A (60 W) power supply for the charger, FEDUS</t>
  </si>
  <si>
    <t>https://www.amazon.in/FEDUS-Adapter-Converter-Battery-Transformer/dp/B0CDM8586S/ref=sr_1_4_in_f3_0o_at_mod_primary_alm?sbo=m6DjfpMzMLDmL8pSMKX8hw%3D%3D&amp;sr=8-4</t>
  </si>
  <si>
    <t>Charger SkyRC iMAX B6 V2 60 W 6 A (genuine)</t>
  </si>
  <si>
    <t>https://robu.in/product/imax-b6-50w-5a-chargerdischarger-1-6-cells-genuine/</t>
  </si>
  <si>
    <t>TOTAL (robot only)</t>
  </si>
  <si>
    <t>TOTAL (incl. charger)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</si>
</sst>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sz val="10.0"/>
      <color rgb="FF0000FF"/>
      <name val="Arial"/>
    </font>
    <font>
      <sz val="11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CC4125"/>
        <bgColor rgb="FFCC4125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1" fillId="8" fontId="1" numFmtId="0" xfId="0" applyAlignment="1" applyBorder="1" applyFill="1" applyFont="1">
      <alignment shrinkToFit="0" vertical="bottom" wrapText="0"/>
    </xf>
    <xf borderId="1" fillId="9" fontId="1" numFmtId="0" xfId="0" applyAlignment="1" applyBorder="1" applyFill="1" applyFont="1">
      <alignment shrinkToFit="0" vertical="bottom" wrapText="0"/>
    </xf>
    <xf borderId="1" fillId="10" fontId="2" numFmtId="0" xfId="0" applyAlignment="1" applyBorder="1" applyFill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1" fillId="11" fontId="2" numFmtId="4" xfId="0" applyAlignment="1" applyBorder="1" applyFill="1" applyFont="1" applyNumberFormat="1">
      <alignment shrinkToFit="0" vertical="top" wrapText="0"/>
    </xf>
    <xf borderId="1" fillId="12" fontId="2" numFmtId="4" xfId="0" applyAlignment="1" applyBorder="1" applyFill="1" applyFont="1" applyNumberFormat="1">
      <alignment shrinkToFit="0" vertical="top" wrapText="0"/>
    </xf>
    <xf borderId="1" fillId="13" fontId="2" numFmtId="0" xfId="0" applyAlignment="1" applyBorder="1" applyFill="1" applyFont="1">
      <alignment shrinkToFit="0" vertical="top" wrapText="1"/>
    </xf>
    <xf borderId="1" fillId="13" fontId="2" numFmtId="0" xfId="0" applyAlignment="1" applyBorder="1" applyFill="1" applyFont="1">
      <alignment shrinkToFit="0" vertical="top" wrapText="0"/>
    </xf>
    <xf borderId="1" fillId="13" fontId="2" numFmtId="4" xfId="0" applyAlignment="1" applyBorder="1" applyFill="1" applyFont="1" applyNumberFormat="1">
      <alignment shrinkToFit="0" vertical="top" wrapText="0"/>
    </xf>
    <xf borderId="1" fillId="14" fontId="2" numFmtId="4" xfId="0" applyAlignment="1" applyBorder="1" applyFill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  <xf borderId="1" fillId="14" fontId="2" numFmtId="0" xfId="0" applyAlignment="1" applyBorder="1" applyFill="1" applyFont="1">
      <alignment shrinkToFit="0" vertical="top" wrapText="0"/>
    </xf>
    <xf borderId="1" fillId="13" fontId="4" numFmtId="0" xfId="0" applyAlignment="1" applyBorder="1" applyFill="1" applyFont="1">
      <alignment shrinkToFit="0" vertical="top" wrapText="0"/>
    </xf>
    <xf borderId="1" fillId="15" fontId="2" numFmtId="0" xfId="0" applyAlignment="1" applyBorder="1" applyFill="1" applyFont="1">
      <alignment shrinkToFit="0" vertical="top" wrapText="1"/>
    </xf>
    <xf borderId="1" fillId="15" fontId="2" numFmtId="0" xfId="0" applyAlignment="1" applyBorder="1" applyFill="1" applyFont="1">
      <alignment shrinkToFit="0" vertical="top" wrapText="0"/>
    </xf>
    <xf borderId="1" fillId="15" fontId="2" numFmtId="4" xfId="0" applyAlignment="1" applyBorder="1" applyFill="1" applyFont="1" applyNumberFormat="1">
      <alignment shrinkToFit="0" vertical="top" wrapText="0"/>
    </xf>
    <xf borderId="1" fillId="15" fontId="5" numFmtId="0" xfId="0" applyAlignment="1" applyBorder="1" applyFill="1" applyFont="1">
      <alignment shrinkToFit="0" vertical="top" wrapText="0"/>
    </xf>
    <xf borderId="1" fillId="16" fontId="1" numFmtId="0" xfId="0" applyAlignment="1" applyBorder="1" applyFill="1" applyFont="1">
      <alignment shrinkToFit="0" vertical="bottom" wrapText="0"/>
    </xf>
    <xf borderId="1" fillId="16" fontId="1" numFmtId="4" xfId="0" applyAlignment="1" applyBorder="1" applyFill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17" fontId="7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obu.in/product/flysky-fs-i6x-2-4ghz-10ch-afhds-2a-rc-transmitter-with-fs-ia10b-2-4ghz-10ch-receiver/" TargetMode="External"/><Relationship Id="rId20" Type="http://schemas.openxmlformats.org/officeDocument/2006/relationships/hyperlink" Target="https://www.amazon.in/Rpi-shop-Stainless-Machine-Quantity/dp/B07XBSZK8R/ref=sr_1_2?sr=8-2" TargetMode="External"/><Relationship Id="rId42" Type="http://schemas.openxmlformats.org/officeDocument/2006/relationships/hyperlink" Target="https://www.technobotix.in/products/flipsky-5065-270kv-1550w-bldc-electric-skateboard-motor/1781252000000062912" TargetMode="External"/><Relationship Id="rId41" Type="http://schemas.openxmlformats.org/officeDocument/2006/relationships/hyperlink" Target="https://zbotic.in/product/zerodrag-boost-am32-55a-4-in-1-esc-made-in-india/" TargetMode="External"/><Relationship Id="rId22" Type="http://schemas.openxmlformats.org/officeDocument/2006/relationships/hyperlink" Target="https://www.amazon.in/30CM-Servo-Extension-Cable-Pack/dp/B0FBLG72DJ/ref=sr_1_1?sr=8-1" TargetMode="External"/><Relationship Id="rId44" Type="http://schemas.openxmlformats.org/officeDocument/2006/relationships/hyperlink" Target="https://robu.in/product/imax-b6-50w-5a-chargerdischarger-1-6-cells-genuine/" TargetMode="External"/><Relationship Id="rId21" Type="http://schemas.openxmlformats.org/officeDocument/2006/relationships/hyperlink" Target="https://www.amazon.in/RPISHOP-Button-Socket-Machine-Quantity/dp/B086H618BB/ref=sr_1_4?sr=8-4" TargetMode="External"/><Relationship Id="rId43" Type="http://schemas.openxmlformats.org/officeDocument/2006/relationships/hyperlink" Target="https://www.amazon.in/FEDUS-Adapter-Converter-Battery-Transformer/dp/B0CDM8586S/ref=sr_1_4_in_f3_0o_at_mod_primary_alm?sbo=m6DjfpMzMLDmL8pSMKX8hw%3D%3D&amp;sr=8-4" TargetMode="External"/><Relationship Id="rId24" Type="http://schemas.openxmlformats.org/officeDocument/2006/relationships/hyperlink" Target="https://www.amazon.in/Nylock-Nuts-Pcs-Self-Locking-Anti-Loosening/dp/B0GWCVVNNC/ref=sr_1_3?sr=8-3" TargetMode="External"/><Relationship Id="rId23" Type="http://schemas.openxmlformats.org/officeDocument/2006/relationships/hyperlink" Target="https://www.amazon.in/BELLOX-560Pieces-Heat-Shrink-Tubing/dp/B0DZXD1YLK/ref=sr_1_2_sspa?sr=8-2-spons&amp;aref=3ZYyKHS6cW&amp;sp_csd=d2lkZ2V0TmFtZT1zcF9hdGY&amp;psc=1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zerodrag.in/products/zerodrag-xt-60-12awg-10cm-pigtail-cable-connector-male" TargetMode="External"/><Relationship Id="rId2" Type="http://schemas.openxmlformats.org/officeDocument/2006/relationships/hyperlink" Target="https://robu.in/?p=24730" TargetMode="External"/><Relationship Id="rId3" Type="http://schemas.openxmlformats.org/officeDocument/2006/relationships/hyperlink" Target="https://www.amazon.in/Rpi-shop-Phillips-Countersunk-Quantity/dp/B08HN98FS3/ref=sr_1_7?sr=8-7" TargetMode="External"/><Relationship Id="rId4" Type="http://schemas.openxmlformats.org/officeDocument/2006/relationships/hyperlink" Target="https://www.amazon.in/Rpi-shop-Phillips-Countersunk-Quantity/dp/B08HNBC1L4/ref=sr_1_5?sr=8-5" TargetMode="External"/><Relationship Id="rId9" Type="http://schemas.openxmlformats.org/officeDocument/2006/relationships/hyperlink" Target="https://www.amazon.in/RPISHOP-Button-Socket-Machine-Quantity/dp/B086H5GRCY/ref=sr_1_8?sr=8-8" TargetMode="External"/><Relationship Id="rId26" Type="http://schemas.openxmlformats.org/officeDocument/2006/relationships/hyperlink" Target="https://roboman.in/product/high-quality-ultra-flexible-12awg-silicone-wire-1m-red-1m-black/" TargetMode="External"/><Relationship Id="rId25" Type="http://schemas.openxmlformats.org/officeDocument/2006/relationships/hyperlink" Target="https://www.amazon.in/Medium-strength-Threadlocker-Thixotropic-temperature-performance/dp/B014MMG3AM/ref=sr_1_1_sspa?nsdOptOutParam=true&amp;sr=8-1-spons&amp;aref=n2qFF6FhiS&amp;sp_csd=d2lkZ2V0TmFtZT1zcF9hdGY&amp;psc=1" TargetMode="External"/><Relationship Id="rId28" Type="http://schemas.openxmlformats.org/officeDocument/2006/relationships/hyperlink" Target="https://www.amazon.in/Robocraze-Switch-Mode-Regulator-Multi-Rotor-Indicator/dp/B0DP54JVJY/ref=sr_1_1?sr=8-1" TargetMode="External"/><Relationship Id="rId27" Type="http://schemas.openxmlformats.org/officeDocument/2006/relationships/hyperlink" Target="https://www.amazon.in/Rpi-shop-Stainless-Machine-Quantity/dp/B07XFP714Z/ref=sr_1_1_sspa?sr=8-1-spons&amp;aref=wbGnA33q4V&amp;sp_csd=d2lkZ2V0TmFtZT1zcF9hdGY&amp;psc=1" TargetMode="External"/><Relationship Id="rId5" Type="http://schemas.openxmlformats.org/officeDocument/2006/relationships/hyperlink" Target="https://www.amazon.in/RPISHOP-Button-Socket-Machine-Quantity/dp/B086H6XHZK/ref=sr_1_6?sr=8-6" TargetMode="External"/><Relationship Id="rId6" Type="http://schemas.openxmlformats.org/officeDocument/2006/relationships/hyperlink" Target="https://roboman.in/product/high-quality-ultra-flexible-16awg-silicone-wire-1m-red-1m-black-copy/" TargetMode="External"/><Relationship Id="rId29" Type="http://schemas.openxmlformats.org/officeDocument/2006/relationships/hyperlink" Target="https://www.amazon.in/XERFU-6901-2RS-Pieces-Rubber-Bearing/dp/B0HDRFDQR1/ref=sr_1_5?sr=8-5" TargetMode="External"/><Relationship Id="rId7" Type="http://schemas.openxmlformats.org/officeDocument/2006/relationships/hyperlink" Target="https://www.amazon.in/RPISHOP-Button-Socket-Machine-Quantity/dp/B086H6TFZW/ref=sr_1_2?sr=8-2" TargetMode="External"/><Relationship Id="rId8" Type="http://schemas.openxmlformats.org/officeDocument/2006/relationships/hyperlink" Target="https://robu.in/product/easymech-set-of-m4-x-8mm-socket-head-cap-allen-bolt-and-nut-12-pcs/" TargetMode="External"/><Relationship Id="rId31" Type="http://schemas.openxmlformats.org/officeDocument/2006/relationships/hyperlink" Target="https://www.amazon.in/B-K-Jagan-Co-Socket-Screw-ALLEN/dp/B0BYCTD8YP/ref=sr_1_4?sr=8-4" TargetMode="External"/><Relationship Id="rId30" Type="http://schemas.openxmlformats.org/officeDocument/2006/relationships/hyperlink" Target="https://www.amazon.in/NBC-6001-2RS-Bearing-12x28x8-Machinery/dp/B0HJ7X1JC1/ref=sr_1_11?sr=8-11" TargetMode="External"/><Relationship Id="rId11" Type="http://schemas.openxmlformats.org/officeDocument/2006/relationships/hyperlink" Target="https://www.amazon.in/Stainless-Steel-304Q-Plain-Washer/dp/B0H5M4TXSS/ref=sr_1_8?sr=8-8" TargetMode="External"/><Relationship Id="rId33" Type="http://schemas.openxmlformats.org/officeDocument/2006/relationships/hyperlink" Target="https://www.amazon.in/NBC-6203-2RS-Bearing-17X40X12-Machinery/dp/B0HJ87GK1L/ref=sr_1_9?sr=8-9" TargetMode="External"/><Relationship Id="rId10" Type="http://schemas.openxmlformats.org/officeDocument/2006/relationships/hyperlink" Target="https://www.amazon.in/Immech-Thread-Locking-Insert-Quantity/dp/B07Z3X2YS6" TargetMode="External"/><Relationship Id="rId32" Type="http://schemas.openxmlformats.org/officeDocument/2006/relationships/hyperlink" Target="https://www.amazon.in/s?k=EN24+round+bar" TargetMode="External"/><Relationship Id="rId13" Type="http://schemas.openxmlformats.org/officeDocument/2006/relationships/hyperlink" Target="https://robu.in/product/xt90-s-anti-spark-connector-with-housing-female/" TargetMode="External"/><Relationship Id="rId35" Type="http://schemas.openxmlformats.org/officeDocument/2006/relationships/hyperlink" Target="https://m.indiamart.com/impcat/en24-round-bar.html" TargetMode="External"/><Relationship Id="rId12" Type="http://schemas.openxmlformats.org/officeDocument/2006/relationships/hyperlink" Target="https://www.amazon.in/Black-Sheets-Thick-Projects-Flexible/dp/B0H4D6P874/ref=sr_1_7?sr=8-7" TargetMode="External"/><Relationship Id="rId34" Type="http://schemas.openxmlformats.org/officeDocument/2006/relationships/hyperlink" Target="https://st.robu.in/product/3d-printing-service" TargetMode="External"/><Relationship Id="rId15" Type="http://schemas.openxmlformats.org/officeDocument/2006/relationships/hyperlink" Target="https://www.amazon.in/Rpi-shop-Stainless-Machine-Quantity/dp/B07XDZR24X/ref=sr_1_8?nsdOptOutParam=true&amp;sr=8-8" TargetMode="External"/><Relationship Id="rId37" Type="http://schemas.openxmlformats.org/officeDocument/2006/relationships/hyperlink" Target="https://robu.in/product/orange-planetary-gear-dc-motor-24v-468-rpm-72-6-n-cm-pg36m555-19-2k/" TargetMode="External"/><Relationship Id="rId14" Type="http://schemas.openxmlformats.org/officeDocument/2006/relationships/hyperlink" Target="https://roboman.in/product/high-quality-ultra-flexible-14awg-silicone-wire-1m-red-1m-black/" TargetMode="External"/><Relationship Id="rId36" Type="http://schemas.openxmlformats.org/officeDocument/2006/relationships/hyperlink" Target="https://robu.in/product/modified-heavy-dutyhd-disc-wheel-100mm-dia-2pc-grey-color/" TargetMode="External"/><Relationship Id="rId17" Type="http://schemas.openxmlformats.org/officeDocument/2006/relationships/hyperlink" Target="https://www.amazon.in/Plated-Metric-Threaded-Rivetnut-Insert/dp/B0DG6MWMDH/ref=sr_1_6?sr=8-6" TargetMode="External"/><Relationship Id="rId39" Type="http://schemas.openxmlformats.org/officeDocument/2006/relationships/hyperlink" Target="https://robu.in/product/orange-2500mah-6s-35c-22-2-v-lithium-polymer-battery-pack-li-po/" TargetMode="External"/><Relationship Id="rId16" Type="http://schemas.openxmlformats.org/officeDocument/2006/relationships/hyperlink" Target="https://www.amazon.in/Rpi-shop-tensile-Machine-Quantity/dp/B07XY7J2CJ" TargetMode="External"/><Relationship Id="rId38" Type="http://schemas.openxmlformats.org/officeDocument/2006/relationships/hyperlink" Target="https://robu.in/product/smartdriveduo-10/" TargetMode="External"/><Relationship Id="rId19" Type="http://schemas.openxmlformats.org/officeDocument/2006/relationships/hyperlink" Target="https://robu.in/product/amass-polymax-55mm-gold-plated-bullet-battery-connector-pair-gc5510-f-and-gc5510-m/" TargetMode="External"/><Relationship Id="rId18" Type="http://schemas.openxmlformats.org/officeDocument/2006/relationships/hyperlink" Target="https://www.amazon.in/Internal-Circlip-Snap-ring-Size/dp/B0DJVN4K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82.0"/>
    <col customWidth="1" min="3" max="3" width="11.0"/>
    <col customWidth="1" min="4" max="4" width="12.0"/>
    <col customWidth="1" min="5" max="5" width="15.0"/>
    <col customWidth="1" min="6" max="6" width="13.0"/>
    <col customWidth="1" min="7" max="7" width="46.0"/>
    <col customWidth="1" min="8" max="8" width="30.0"/>
    <col customWidth="1" min="9" max="25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 t="s">
        <v>8</v>
      </c>
      <c r="B2" s="10" t="s">
        <v>9</v>
      </c>
      <c r="C2" s="11">
        <v>1.0</v>
      </c>
      <c r="D2" s="12">
        <v>2.0</v>
      </c>
      <c r="E2" s="13">
        <f t="shared" ref="E2:E66" si="1">C2*D2</f>
        <v>2</v>
      </c>
      <c r="F2" s="14">
        <f t="shared" ref="F2:F68" si="2">ROUND(E2/$B$71,2)</f>
        <v>0.02</v>
      </c>
      <c r="G2" s="11" t="s">
        <v>10</v>
      </c>
      <c r="H2" s="11" t="s">
        <v>11</v>
      </c>
    </row>
    <row r="3">
      <c r="A3" s="9" t="s">
        <v>8</v>
      </c>
      <c r="B3" s="10" t="s">
        <v>12</v>
      </c>
      <c r="C3" s="11">
        <v>1.0</v>
      </c>
      <c r="D3" s="12">
        <v>6.0</v>
      </c>
      <c r="E3" s="13">
        <f t="shared" si="1"/>
        <v>6</v>
      </c>
      <c r="F3" s="14">
        <f t="shared" si="2"/>
        <v>0.06</v>
      </c>
      <c r="G3" s="11" t="s">
        <v>10</v>
      </c>
      <c r="H3" s="11" t="s">
        <v>11</v>
      </c>
    </row>
    <row r="4">
      <c r="A4" s="9" t="s">
        <v>8</v>
      </c>
      <c r="B4" s="10" t="s">
        <v>13</v>
      </c>
      <c r="C4" s="11">
        <v>1.0</v>
      </c>
      <c r="D4" s="12">
        <v>7.0</v>
      </c>
      <c r="E4" s="13">
        <f t="shared" si="1"/>
        <v>7</v>
      </c>
      <c r="F4" s="14">
        <f t="shared" si="2"/>
        <v>0.07</v>
      </c>
      <c r="G4" s="11" t="s">
        <v>10</v>
      </c>
      <c r="H4" s="11" t="s">
        <v>11</v>
      </c>
    </row>
    <row r="5">
      <c r="A5" s="9" t="s">
        <v>8</v>
      </c>
      <c r="B5" s="10" t="s">
        <v>14</v>
      </c>
      <c r="C5" s="11">
        <v>1.0</v>
      </c>
      <c r="D5" s="12">
        <v>21.0</v>
      </c>
      <c r="E5" s="13">
        <f t="shared" si="1"/>
        <v>21</v>
      </c>
      <c r="F5" s="14">
        <f t="shared" si="2"/>
        <v>0.22</v>
      </c>
      <c r="G5" s="11" t="s">
        <v>10</v>
      </c>
      <c r="H5" s="11" t="s">
        <v>11</v>
      </c>
    </row>
    <row r="6">
      <c r="A6" s="9" t="s">
        <v>8</v>
      </c>
      <c r="B6" s="10" t="s">
        <v>15</v>
      </c>
      <c r="C6" s="11">
        <v>1.0</v>
      </c>
      <c r="D6" s="12">
        <v>22.0</v>
      </c>
      <c r="E6" s="13">
        <f t="shared" si="1"/>
        <v>22</v>
      </c>
      <c r="F6" s="14">
        <f t="shared" si="2"/>
        <v>0.23</v>
      </c>
      <c r="G6" s="11" t="s">
        <v>10</v>
      </c>
      <c r="H6" s="11" t="s">
        <v>11</v>
      </c>
    </row>
    <row r="7">
      <c r="A7" s="9" t="s">
        <v>8</v>
      </c>
      <c r="B7" s="15" t="s">
        <v>16</v>
      </c>
      <c r="C7" s="16">
        <v>1.0</v>
      </c>
      <c r="D7" s="17">
        <v>26.0</v>
      </c>
      <c r="E7" s="13">
        <f t="shared" si="1"/>
        <v>26</v>
      </c>
      <c r="F7" s="14">
        <f t="shared" si="2"/>
        <v>0.28</v>
      </c>
      <c r="G7" s="16" t="s">
        <v>10</v>
      </c>
      <c r="H7" s="16" t="s">
        <v>11</v>
      </c>
    </row>
    <row r="8">
      <c r="A8" s="9" t="s">
        <v>8</v>
      </c>
      <c r="B8" s="15" t="s">
        <v>17</v>
      </c>
      <c r="C8" s="16">
        <v>1.0</v>
      </c>
      <c r="D8" s="17">
        <v>31.0</v>
      </c>
      <c r="E8" s="13">
        <f t="shared" si="1"/>
        <v>31</v>
      </c>
      <c r="F8" s="14">
        <f t="shared" si="2"/>
        <v>0.33</v>
      </c>
      <c r="G8" s="16" t="s">
        <v>10</v>
      </c>
      <c r="H8" s="16" t="s">
        <v>11</v>
      </c>
    </row>
    <row r="9">
      <c r="A9" s="9" t="s">
        <v>8</v>
      </c>
      <c r="B9" s="10" t="s">
        <v>18</v>
      </c>
      <c r="C9" s="11">
        <v>1.0</v>
      </c>
      <c r="D9" s="12">
        <v>40.0</v>
      </c>
      <c r="E9" s="13">
        <f t="shared" si="1"/>
        <v>40</v>
      </c>
      <c r="F9" s="14">
        <f t="shared" si="2"/>
        <v>0.42</v>
      </c>
      <c r="G9" s="11" t="s">
        <v>10</v>
      </c>
      <c r="H9" s="11" t="s">
        <v>11</v>
      </c>
    </row>
    <row r="10">
      <c r="A10" s="9" t="s">
        <v>8</v>
      </c>
      <c r="B10" s="10" t="s">
        <v>19</v>
      </c>
      <c r="C10" s="11">
        <v>1.0</v>
      </c>
      <c r="D10" s="12">
        <v>45.0</v>
      </c>
      <c r="E10" s="13">
        <f t="shared" si="1"/>
        <v>45</v>
      </c>
      <c r="F10" s="14">
        <f t="shared" si="2"/>
        <v>0.48</v>
      </c>
      <c r="G10" s="11" t="s">
        <v>10</v>
      </c>
      <c r="H10" s="11" t="s">
        <v>11</v>
      </c>
    </row>
    <row r="11">
      <c r="A11" s="9" t="s">
        <v>8</v>
      </c>
      <c r="B11" s="10" t="s">
        <v>20</v>
      </c>
      <c r="C11" s="11">
        <v>1.0</v>
      </c>
      <c r="D11" s="12">
        <v>75.0</v>
      </c>
      <c r="E11" s="13">
        <f t="shared" si="1"/>
        <v>75</v>
      </c>
      <c r="F11" s="14">
        <f t="shared" si="2"/>
        <v>0.79</v>
      </c>
      <c r="G11" s="11" t="s">
        <v>10</v>
      </c>
      <c r="H11" s="11" t="s">
        <v>11</v>
      </c>
    </row>
    <row r="12">
      <c r="A12" s="9" t="s">
        <v>21</v>
      </c>
      <c r="B12" s="10" t="s">
        <v>22</v>
      </c>
      <c r="C12" s="11">
        <v>1.0</v>
      </c>
      <c r="D12" s="18">
        <v>79.0</v>
      </c>
      <c r="E12" s="13">
        <f t="shared" si="1"/>
        <v>79</v>
      </c>
      <c r="F12" s="14">
        <f t="shared" si="2"/>
        <v>0.84</v>
      </c>
      <c r="G12" s="19" t="s">
        <v>23</v>
      </c>
      <c r="H12" s="20" t="s">
        <v>24</v>
      </c>
    </row>
    <row r="13">
      <c r="A13" s="9" t="s">
        <v>21</v>
      </c>
      <c r="B13" s="15" t="s">
        <v>25</v>
      </c>
      <c r="C13" s="16">
        <v>1.0</v>
      </c>
      <c r="D13" s="17">
        <v>79.0</v>
      </c>
      <c r="E13" s="13">
        <f t="shared" si="1"/>
        <v>79</v>
      </c>
      <c r="F13" s="14">
        <f t="shared" si="2"/>
        <v>0.84</v>
      </c>
      <c r="G13" s="21" t="s">
        <v>26</v>
      </c>
      <c r="H13" s="16" t="s">
        <v>27</v>
      </c>
    </row>
    <row r="14">
      <c r="A14" s="9" t="s">
        <v>8</v>
      </c>
      <c r="B14" s="10" t="s">
        <v>28</v>
      </c>
      <c r="C14" s="11">
        <v>1.0</v>
      </c>
      <c r="D14" s="12">
        <v>88.0</v>
      </c>
      <c r="E14" s="13">
        <f t="shared" si="1"/>
        <v>88</v>
      </c>
      <c r="F14" s="14">
        <f t="shared" si="2"/>
        <v>0.93</v>
      </c>
      <c r="G14" s="11" t="s">
        <v>10</v>
      </c>
      <c r="H14" s="11" t="s">
        <v>11</v>
      </c>
    </row>
    <row r="15">
      <c r="A15" s="9" t="s">
        <v>8</v>
      </c>
      <c r="B15" s="10" t="s">
        <v>29</v>
      </c>
      <c r="C15" s="11">
        <v>1.0</v>
      </c>
      <c r="D15" s="12">
        <v>91.0</v>
      </c>
      <c r="E15" s="13">
        <f t="shared" si="1"/>
        <v>91</v>
      </c>
      <c r="F15" s="14">
        <f t="shared" si="2"/>
        <v>0.96</v>
      </c>
      <c r="G15" s="11" t="s">
        <v>10</v>
      </c>
      <c r="H15" s="11" t="s">
        <v>11</v>
      </c>
    </row>
    <row r="16">
      <c r="A16" s="9" t="s">
        <v>30</v>
      </c>
      <c r="B16" s="10" t="s">
        <v>31</v>
      </c>
      <c r="C16" s="11">
        <v>1.0</v>
      </c>
      <c r="D16" s="12">
        <v>99.0</v>
      </c>
      <c r="E16" s="13">
        <f t="shared" si="1"/>
        <v>99</v>
      </c>
      <c r="F16" s="14">
        <f t="shared" si="2"/>
        <v>1.05</v>
      </c>
      <c r="G16" s="19" t="s">
        <v>32</v>
      </c>
      <c r="H16" s="11" t="s">
        <v>27</v>
      </c>
    </row>
    <row r="17">
      <c r="A17" s="9" t="s">
        <v>30</v>
      </c>
      <c r="B17" s="10" t="s">
        <v>33</v>
      </c>
      <c r="C17" s="11">
        <v>1.0</v>
      </c>
      <c r="D17" s="12">
        <v>99.0</v>
      </c>
      <c r="E17" s="13">
        <f t="shared" si="1"/>
        <v>99</v>
      </c>
      <c r="F17" s="14">
        <f t="shared" si="2"/>
        <v>1.05</v>
      </c>
      <c r="G17" s="19" t="s">
        <v>34</v>
      </c>
      <c r="H17" s="11" t="s">
        <v>27</v>
      </c>
    </row>
    <row r="18">
      <c r="A18" s="9" t="s">
        <v>30</v>
      </c>
      <c r="B18" s="10" t="s">
        <v>35</v>
      </c>
      <c r="C18" s="11">
        <v>1.0</v>
      </c>
      <c r="D18" s="18">
        <v>99.0</v>
      </c>
      <c r="E18" s="13">
        <f t="shared" si="1"/>
        <v>99</v>
      </c>
      <c r="F18" s="14">
        <f t="shared" si="2"/>
        <v>1.05</v>
      </c>
      <c r="G18" s="19" t="s">
        <v>36</v>
      </c>
      <c r="H18" s="20" t="s">
        <v>24</v>
      </c>
    </row>
    <row r="19">
      <c r="A19" s="9" t="s">
        <v>21</v>
      </c>
      <c r="B19" s="10" t="s">
        <v>37</v>
      </c>
      <c r="C19" s="11">
        <v>1.0</v>
      </c>
      <c r="D19" s="12">
        <v>109.0</v>
      </c>
      <c r="E19" s="13">
        <f t="shared" si="1"/>
        <v>109</v>
      </c>
      <c r="F19" s="14">
        <f t="shared" si="2"/>
        <v>1.15</v>
      </c>
      <c r="G19" s="19" t="s">
        <v>38</v>
      </c>
      <c r="H19" s="11" t="s">
        <v>27</v>
      </c>
    </row>
    <row r="20">
      <c r="A20" s="9" t="s">
        <v>30</v>
      </c>
      <c r="B20" s="10" t="s">
        <v>39</v>
      </c>
      <c r="C20" s="11">
        <v>1.0</v>
      </c>
      <c r="D20" s="18">
        <v>110.5</v>
      </c>
      <c r="E20" s="13">
        <f t="shared" si="1"/>
        <v>110.5</v>
      </c>
      <c r="F20" s="14">
        <f t="shared" si="2"/>
        <v>1.17</v>
      </c>
      <c r="G20" s="19" t="s">
        <v>40</v>
      </c>
      <c r="H20" s="20" t="s">
        <v>24</v>
      </c>
    </row>
    <row r="21" ht="15.75" customHeight="1">
      <c r="A21" s="9" t="s">
        <v>30</v>
      </c>
      <c r="B21" s="10" t="s">
        <v>41</v>
      </c>
      <c r="C21" s="11">
        <v>1.0</v>
      </c>
      <c r="D21" s="12">
        <v>113.0</v>
      </c>
      <c r="E21" s="13">
        <f t="shared" si="1"/>
        <v>113</v>
      </c>
      <c r="F21" s="14">
        <f t="shared" si="2"/>
        <v>1.2</v>
      </c>
      <c r="G21" s="19" t="s">
        <v>42</v>
      </c>
      <c r="H21" s="11" t="s">
        <v>27</v>
      </c>
    </row>
    <row r="22" ht="15.75" customHeight="1">
      <c r="A22" s="9" t="s">
        <v>30</v>
      </c>
      <c r="B22" s="10" t="s">
        <v>43</v>
      </c>
      <c r="C22" s="11">
        <v>1.0</v>
      </c>
      <c r="D22" s="12">
        <v>118.0</v>
      </c>
      <c r="E22" s="13">
        <f t="shared" si="1"/>
        <v>118</v>
      </c>
      <c r="F22" s="14">
        <f t="shared" si="2"/>
        <v>1.25</v>
      </c>
      <c r="G22" s="19" t="s">
        <v>44</v>
      </c>
      <c r="H22" s="11" t="s">
        <v>27</v>
      </c>
    </row>
    <row r="23" ht="15.75" customHeight="1">
      <c r="A23" s="9" t="s">
        <v>30</v>
      </c>
      <c r="B23" s="15" t="s">
        <v>45</v>
      </c>
      <c r="C23" s="16">
        <v>1.0</v>
      </c>
      <c r="D23" s="18">
        <v>120.0</v>
      </c>
      <c r="E23" s="13">
        <f t="shared" si="1"/>
        <v>120</v>
      </c>
      <c r="F23" s="14">
        <f t="shared" si="2"/>
        <v>1.27</v>
      </c>
      <c r="G23" s="21" t="s">
        <v>46</v>
      </c>
      <c r="H23" s="20" t="s">
        <v>24</v>
      </c>
    </row>
    <row r="24" ht="15.75" customHeight="1">
      <c r="A24" s="9" t="s">
        <v>30</v>
      </c>
      <c r="B24" s="15" t="s">
        <v>47</v>
      </c>
      <c r="C24" s="16">
        <v>1.0</v>
      </c>
      <c r="D24" s="18">
        <v>150.0</v>
      </c>
      <c r="E24" s="13">
        <f t="shared" si="1"/>
        <v>150</v>
      </c>
      <c r="F24" s="14">
        <f t="shared" si="2"/>
        <v>1.59</v>
      </c>
      <c r="G24" s="21" t="s">
        <v>48</v>
      </c>
      <c r="H24" s="20" t="s">
        <v>24</v>
      </c>
    </row>
    <row r="25" ht="15.75" customHeight="1">
      <c r="A25" s="9" t="s">
        <v>49</v>
      </c>
      <c r="B25" s="10" t="s">
        <v>50</v>
      </c>
      <c r="C25" s="11">
        <v>1.0</v>
      </c>
      <c r="D25" s="18">
        <v>150.0</v>
      </c>
      <c r="E25" s="13">
        <f t="shared" si="1"/>
        <v>150</v>
      </c>
      <c r="F25" s="14">
        <f t="shared" si="2"/>
        <v>1.59</v>
      </c>
      <c r="G25" s="19" t="s">
        <v>51</v>
      </c>
      <c r="H25" s="20" t="s">
        <v>24</v>
      </c>
    </row>
    <row r="26" ht="15.75" customHeight="1">
      <c r="A26" s="9" t="s">
        <v>21</v>
      </c>
      <c r="B26" s="10" t="s">
        <v>52</v>
      </c>
      <c r="C26" s="11">
        <v>1.0</v>
      </c>
      <c r="D26" s="12">
        <v>159.0</v>
      </c>
      <c r="E26" s="13">
        <f t="shared" si="1"/>
        <v>159</v>
      </c>
      <c r="F26" s="14">
        <f t="shared" si="2"/>
        <v>1.68</v>
      </c>
      <c r="G26" s="19" t="s">
        <v>53</v>
      </c>
      <c r="H26" s="11" t="s">
        <v>27</v>
      </c>
    </row>
    <row r="27" ht="15.75" customHeight="1">
      <c r="A27" s="9" t="s">
        <v>21</v>
      </c>
      <c r="B27" s="10" t="s">
        <v>54</v>
      </c>
      <c r="C27" s="11">
        <v>1.0</v>
      </c>
      <c r="D27" s="18">
        <v>169.0</v>
      </c>
      <c r="E27" s="13">
        <f t="shared" si="1"/>
        <v>169</v>
      </c>
      <c r="F27" s="14">
        <f t="shared" si="2"/>
        <v>1.79</v>
      </c>
      <c r="G27" s="19" t="s">
        <v>55</v>
      </c>
      <c r="H27" s="20" t="s">
        <v>24</v>
      </c>
    </row>
    <row r="28" ht="15.75" customHeight="1">
      <c r="A28" s="9" t="s">
        <v>30</v>
      </c>
      <c r="B28" s="10" t="s">
        <v>56</v>
      </c>
      <c r="C28" s="11">
        <v>1.0</v>
      </c>
      <c r="D28" s="12">
        <v>174.15</v>
      </c>
      <c r="E28" s="13">
        <f t="shared" si="1"/>
        <v>174.15</v>
      </c>
      <c r="F28" s="14">
        <f t="shared" si="2"/>
        <v>1.84</v>
      </c>
      <c r="G28" s="19" t="s">
        <v>57</v>
      </c>
      <c r="H28" s="11" t="s">
        <v>27</v>
      </c>
    </row>
    <row r="29" ht="15.75" customHeight="1">
      <c r="A29" s="9" t="s">
        <v>30</v>
      </c>
      <c r="B29" s="15" t="s">
        <v>58</v>
      </c>
      <c r="C29" s="16">
        <v>1.0</v>
      </c>
      <c r="D29" s="18">
        <v>180.0</v>
      </c>
      <c r="E29" s="13">
        <f t="shared" si="1"/>
        <v>180</v>
      </c>
      <c r="F29" s="14">
        <f t="shared" si="2"/>
        <v>1.9</v>
      </c>
      <c r="G29" s="21" t="s">
        <v>59</v>
      </c>
      <c r="H29" s="20" t="s">
        <v>24</v>
      </c>
    </row>
    <row r="30" ht="15.75" customHeight="1">
      <c r="A30" s="9" t="s">
        <v>8</v>
      </c>
      <c r="B30" s="10" t="s">
        <v>60</v>
      </c>
      <c r="C30" s="11">
        <v>1.0</v>
      </c>
      <c r="D30" s="12">
        <v>195.0</v>
      </c>
      <c r="E30" s="13">
        <f t="shared" si="1"/>
        <v>195</v>
      </c>
      <c r="F30" s="14">
        <f t="shared" si="2"/>
        <v>2.06</v>
      </c>
      <c r="G30" s="11" t="s">
        <v>10</v>
      </c>
      <c r="H30" s="11" t="s">
        <v>11</v>
      </c>
    </row>
    <row r="31" ht="15.75" customHeight="1">
      <c r="A31" s="9" t="s">
        <v>30</v>
      </c>
      <c r="B31" s="10" t="s">
        <v>61</v>
      </c>
      <c r="C31" s="11">
        <v>1.0</v>
      </c>
      <c r="D31" s="18">
        <v>249.0</v>
      </c>
      <c r="E31" s="13">
        <f t="shared" si="1"/>
        <v>249</v>
      </c>
      <c r="F31" s="14">
        <f t="shared" si="2"/>
        <v>2.63</v>
      </c>
      <c r="G31" s="19" t="s">
        <v>62</v>
      </c>
      <c r="H31" s="20" t="s">
        <v>24</v>
      </c>
    </row>
    <row r="32" ht="15.75" customHeight="1">
      <c r="A32" s="9" t="s">
        <v>30</v>
      </c>
      <c r="B32" s="15" t="s">
        <v>63</v>
      </c>
      <c r="C32" s="16">
        <v>1.0</v>
      </c>
      <c r="D32" s="18">
        <v>250.0</v>
      </c>
      <c r="E32" s="13">
        <f t="shared" si="1"/>
        <v>250</v>
      </c>
      <c r="F32" s="14">
        <f t="shared" si="2"/>
        <v>2.65</v>
      </c>
      <c r="G32" s="21" t="s">
        <v>64</v>
      </c>
      <c r="H32" s="20" t="s">
        <v>24</v>
      </c>
    </row>
    <row r="33" ht="15.75" customHeight="1">
      <c r="A33" s="9" t="s">
        <v>21</v>
      </c>
      <c r="B33" s="10" t="s">
        <v>65</v>
      </c>
      <c r="C33" s="11">
        <v>4.0</v>
      </c>
      <c r="D33" s="12">
        <v>72.0</v>
      </c>
      <c r="E33" s="13">
        <f t="shared" si="1"/>
        <v>288</v>
      </c>
      <c r="F33" s="14">
        <f t="shared" si="2"/>
        <v>3.05</v>
      </c>
      <c r="G33" s="19" t="s">
        <v>66</v>
      </c>
      <c r="H33" s="11" t="s">
        <v>27</v>
      </c>
    </row>
    <row r="34" ht="15.75" customHeight="1">
      <c r="A34" s="9" t="s">
        <v>8</v>
      </c>
      <c r="B34" s="10" t="s">
        <v>67</v>
      </c>
      <c r="C34" s="11">
        <v>1.0</v>
      </c>
      <c r="D34" s="12">
        <v>293.0</v>
      </c>
      <c r="E34" s="13">
        <f t="shared" si="1"/>
        <v>293</v>
      </c>
      <c r="F34" s="14">
        <f t="shared" si="2"/>
        <v>3.1</v>
      </c>
      <c r="G34" s="11" t="s">
        <v>10</v>
      </c>
      <c r="H34" s="11" t="s">
        <v>11</v>
      </c>
    </row>
    <row r="35" ht="15.75" customHeight="1">
      <c r="A35" s="9" t="s">
        <v>30</v>
      </c>
      <c r="B35" s="10" t="s">
        <v>68</v>
      </c>
      <c r="C35" s="11">
        <v>2.0</v>
      </c>
      <c r="D35" s="12">
        <v>148.19</v>
      </c>
      <c r="E35" s="13">
        <f t="shared" si="1"/>
        <v>296.38</v>
      </c>
      <c r="F35" s="14">
        <f t="shared" si="2"/>
        <v>3.14</v>
      </c>
      <c r="G35" s="19" t="s">
        <v>69</v>
      </c>
      <c r="H35" s="11" t="s">
        <v>27</v>
      </c>
    </row>
    <row r="36" ht="15.75" customHeight="1">
      <c r="A36" s="9" t="s">
        <v>30</v>
      </c>
      <c r="B36" s="10" t="s">
        <v>70</v>
      </c>
      <c r="C36" s="11">
        <v>2.0</v>
      </c>
      <c r="D36" s="12">
        <v>149.49</v>
      </c>
      <c r="E36" s="13">
        <f t="shared" si="1"/>
        <v>298.98</v>
      </c>
      <c r="F36" s="14">
        <f t="shared" si="2"/>
        <v>3.16</v>
      </c>
      <c r="G36" s="19" t="s">
        <v>71</v>
      </c>
      <c r="H36" s="11" t="s">
        <v>27</v>
      </c>
    </row>
    <row r="37" ht="15.75" customHeight="1">
      <c r="A37" s="9" t="s">
        <v>21</v>
      </c>
      <c r="B37" s="10" t="s">
        <v>72</v>
      </c>
      <c r="C37" s="11">
        <v>1.0</v>
      </c>
      <c r="D37" s="12">
        <v>299.0</v>
      </c>
      <c r="E37" s="13">
        <f t="shared" si="1"/>
        <v>299</v>
      </c>
      <c r="F37" s="14">
        <f t="shared" si="2"/>
        <v>3.16</v>
      </c>
      <c r="G37" s="19" t="s">
        <v>73</v>
      </c>
      <c r="H37" s="11" t="s">
        <v>27</v>
      </c>
    </row>
    <row r="38" ht="15.75" customHeight="1">
      <c r="A38" s="9" t="s">
        <v>21</v>
      </c>
      <c r="B38" s="10" t="s">
        <v>74</v>
      </c>
      <c r="C38" s="11">
        <v>1.0</v>
      </c>
      <c r="D38" s="12">
        <v>310.61</v>
      </c>
      <c r="E38" s="13">
        <f t="shared" si="1"/>
        <v>310.61</v>
      </c>
      <c r="F38" s="14">
        <f t="shared" si="2"/>
        <v>3.29</v>
      </c>
      <c r="G38" s="19" t="s">
        <v>75</v>
      </c>
      <c r="H38" s="11" t="s">
        <v>27</v>
      </c>
    </row>
    <row r="39" ht="15.75" customHeight="1">
      <c r="A39" s="9" t="s">
        <v>8</v>
      </c>
      <c r="B39" s="10" t="s">
        <v>76</v>
      </c>
      <c r="C39" s="11">
        <v>1.0</v>
      </c>
      <c r="D39" s="12">
        <v>346.0</v>
      </c>
      <c r="E39" s="13">
        <f t="shared" si="1"/>
        <v>346</v>
      </c>
      <c r="F39" s="14">
        <f t="shared" si="2"/>
        <v>3.66</v>
      </c>
      <c r="G39" s="11" t="s">
        <v>10</v>
      </c>
      <c r="H39" s="11" t="s">
        <v>11</v>
      </c>
    </row>
    <row r="40" ht="15.75" customHeight="1">
      <c r="A40" s="9" t="s">
        <v>30</v>
      </c>
      <c r="B40" s="10" t="s">
        <v>77</v>
      </c>
      <c r="C40" s="11">
        <v>1.0</v>
      </c>
      <c r="D40" s="12">
        <v>349.0</v>
      </c>
      <c r="E40" s="13">
        <f t="shared" si="1"/>
        <v>349</v>
      </c>
      <c r="F40" s="14">
        <f t="shared" si="2"/>
        <v>3.69</v>
      </c>
      <c r="G40" s="19" t="s">
        <v>78</v>
      </c>
      <c r="H40" s="11" t="s">
        <v>27</v>
      </c>
    </row>
    <row r="41" ht="15.75" customHeight="1">
      <c r="A41" s="9" t="s">
        <v>49</v>
      </c>
      <c r="B41" s="10" t="s">
        <v>79</v>
      </c>
      <c r="C41" s="11">
        <v>1.0</v>
      </c>
      <c r="D41" s="18">
        <v>350.0</v>
      </c>
      <c r="E41" s="13">
        <f t="shared" si="1"/>
        <v>350</v>
      </c>
      <c r="F41" s="14">
        <f t="shared" si="2"/>
        <v>3.7</v>
      </c>
      <c r="G41" s="19" t="s">
        <v>80</v>
      </c>
      <c r="H41" s="20" t="s">
        <v>24</v>
      </c>
    </row>
    <row r="42" ht="15.75" customHeight="1">
      <c r="A42" s="9" t="s">
        <v>21</v>
      </c>
      <c r="B42" s="10" t="s">
        <v>81</v>
      </c>
      <c r="C42" s="11">
        <v>2.0</v>
      </c>
      <c r="D42" s="18">
        <v>190.0</v>
      </c>
      <c r="E42" s="13">
        <f t="shared" si="1"/>
        <v>380</v>
      </c>
      <c r="F42" s="14">
        <f t="shared" si="2"/>
        <v>4.02</v>
      </c>
      <c r="G42" s="19" t="s">
        <v>82</v>
      </c>
      <c r="H42" s="20" t="s">
        <v>24</v>
      </c>
    </row>
    <row r="43" ht="15.75" customHeight="1">
      <c r="A43" s="9" t="s">
        <v>83</v>
      </c>
      <c r="B43" s="15" t="s">
        <v>84</v>
      </c>
      <c r="C43" s="16">
        <v>1.0</v>
      </c>
      <c r="D43" s="18">
        <v>400.0</v>
      </c>
      <c r="E43" s="13">
        <f t="shared" si="1"/>
        <v>400</v>
      </c>
      <c r="F43" s="14">
        <f t="shared" si="2"/>
        <v>4.23</v>
      </c>
      <c r="G43" s="16" t="s">
        <v>85</v>
      </c>
      <c r="H43" s="20" t="s">
        <v>24</v>
      </c>
    </row>
    <row r="44" ht="15.75" customHeight="1">
      <c r="A44" s="9" t="s">
        <v>30</v>
      </c>
      <c r="B44" s="10" t="s">
        <v>86</v>
      </c>
      <c r="C44" s="11">
        <v>2.0</v>
      </c>
      <c r="D44" s="12">
        <v>210.0</v>
      </c>
      <c r="E44" s="13">
        <f t="shared" si="1"/>
        <v>420</v>
      </c>
      <c r="F44" s="14">
        <f t="shared" si="2"/>
        <v>4.44</v>
      </c>
      <c r="G44" s="19" t="s">
        <v>87</v>
      </c>
      <c r="H44" s="11" t="s">
        <v>27</v>
      </c>
    </row>
    <row r="45" ht="15.75" customHeight="1">
      <c r="A45" s="9" t="s">
        <v>88</v>
      </c>
      <c r="B45" s="22" t="s">
        <v>89</v>
      </c>
      <c r="C45" s="23">
        <v>1.0</v>
      </c>
      <c r="D45" s="24">
        <v>479.0</v>
      </c>
      <c r="E45" s="13">
        <f t="shared" si="1"/>
        <v>479</v>
      </c>
      <c r="F45" s="14">
        <f t="shared" si="2"/>
        <v>5.07</v>
      </c>
      <c r="G45" s="25" t="s">
        <v>90</v>
      </c>
      <c r="H45" s="23" t="s">
        <v>27</v>
      </c>
    </row>
    <row r="46" ht="15.75" customHeight="1">
      <c r="A46" s="9" t="s">
        <v>49</v>
      </c>
      <c r="B46" s="10" t="s">
        <v>91</v>
      </c>
      <c r="C46" s="11">
        <v>1.0</v>
      </c>
      <c r="D46" s="12">
        <v>480.0</v>
      </c>
      <c r="E46" s="13">
        <f t="shared" si="1"/>
        <v>480</v>
      </c>
      <c r="F46" s="14">
        <f t="shared" si="2"/>
        <v>5.08</v>
      </c>
      <c r="G46" s="19" t="s">
        <v>92</v>
      </c>
      <c r="H46" s="11" t="s">
        <v>27</v>
      </c>
    </row>
    <row r="47" ht="15.75" customHeight="1">
      <c r="A47" s="9" t="s">
        <v>49</v>
      </c>
      <c r="B47" s="10" t="s">
        <v>93</v>
      </c>
      <c r="C47" s="11">
        <v>2.0</v>
      </c>
      <c r="D47" s="12">
        <v>270.0</v>
      </c>
      <c r="E47" s="13">
        <f t="shared" si="1"/>
        <v>540</v>
      </c>
      <c r="F47" s="14">
        <f t="shared" si="2"/>
        <v>5.71</v>
      </c>
      <c r="G47" s="19" t="s">
        <v>94</v>
      </c>
      <c r="H47" s="11" t="s">
        <v>27</v>
      </c>
    </row>
    <row r="48" ht="15.75" customHeight="1">
      <c r="A48" s="9" t="s">
        <v>30</v>
      </c>
      <c r="B48" s="10" t="s">
        <v>95</v>
      </c>
      <c r="C48" s="11">
        <v>1.0</v>
      </c>
      <c r="D48" s="12">
        <v>598.0</v>
      </c>
      <c r="E48" s="13">
        <f t="shared" si="1"/>
        <v>598</v>
      </c>
      <c r="F48" s="14">
        <f t="shared" si="2"/>
        <v>6.33</v>
      </c>
      <c r="G48" s="19" t="s">
        <v>96</v>
      </c>
      <c r="H48" s="11" t="s">
        <v>27</v>
      </c>
    </row>
    <row r="49" ht="15.75" customHeight="1">
      <c r="A49" s="9" t="s">
        <v>83</v>
      </c>
      <c r="B49" s="10" t="s">
        <v>97</v>
      </c>
      <c r="C49" s="11">
        <v>1.0</v>
      </c>
      <c r="D49" s="18">
        <v>600.0</v>
      </c>
      <c r="E49" s="13">
        <f t="shared" si="1"/>
        <v>600</v>
      </c>
      <c r="F49" s="14">
        <f t="shared" si="2"/>
        <v>6.35</v>
      </c>
      <c r="G49" s="19" t="s">
        <v>98</v>
      </c>
      <c r="H49" s="20" t="s">
        <v>24</v>
      </c>
    </row>
    <row r="50" ht="15.75" customHeight="1">
      <c r="A50" s="9" t="s">
        <v>49</v>
      </c>
      <c r="B50" s="10" t="s">
        <v>99</v>
      </c>
      <c r="C50" s="11">
        <v>2.0</v>
      </c>
      <c r="D50" s="12">
        <v>340.0</v>
      </c>
      <c r="E50" s="13">
        <f t="shared" si="1"/>
        <v>680</v>
      </c>
      <c r="F50" s="14">
        <f t="shared" si="2"/>
        <v>7.2</v>
      </c>
      <c r="G50" s="19" t="s">
        <v>100</v>
      </c>
      <c r="H50" s="11" t="s">
        <v>27</v>
      </c>
    </row>
    <row r="51" ht="15.75" customHeight="1">
      <c r="A51" s="9" t="s">
        <v>83</v>
      </c>
      <c r="B51" s="10" t="s">
        <v>101</v>
      </c>
      <c r="C51" s="11">
        <v>1.0</v>
      </c>
      <c r="D51" s="18">
        <v>800.0</v>
      </c>
      <c r="E51" s="13">
        <f t="shared" si="1"/>
        <v>800</v>
      </c>
      <c r="F51" s="14">
        <f t="shared" si="2"/>
        <v>8.47</v>
      </c>
      <c r="G51" s="11" t="s">
        <v>102</v>
      </c>
      <c r="H51" s="20" t="s">
        <v>24</v>
      </c>
    </row>
    <row r="52" ht="15.75" customHeight="1">
      <c r="A52" s="9" t="s">
        <v>103</v>
      </c>
      <c r="B52" s="10" t="s">
        <v>104</v>
      </c>
      <c r="C52" s="11">
        <v>1.0</v>
      </c>
      <c r="D52" s="12">
        <v>850.0</v>
      </c>
      <c r="E52" s="13">
        <f t="shared" si="1"/>
        <v>850</v>
      </c>
      <c r="F52" s="14">
        <f t="shared" si="2"/>
        <v>8.99</v>
      </c>
      <c r="G52" s="19" t="s">
        <v>105</v>
      </c>
      <c r="H52" s="11" t="s">
        <v>27</v>
      </c>
    </row>
    <row r="53" ht="15.75" customHeight="1">
      <c r="A53" s="9" t="s">
        <v>83</v>
      </c>
      <c r="B53" s="10" t="s">
        <v>106</v>
      </c>
      <c r="C53" s="11">
        <v>1.0</v>
      </c>
      <c r="D53" s="18">
        <v>891.0</v>
      </c>
      <c r="E53" s="13">
        <f t="shared" si="1"/>
        <v>891</v>
      </c>
      <c r="F53" s="14">
        <f t="shared" si="2"/>
        <v>9.43</v>
      </c>
      <c r="G53" s="19" t="s">
        <v>107</v>
      </c>
      <c r="H53" s="20" t="s">
        <v>24</v>
      </c>
    </row>
    <row r="54" ht="15.75" customHeight="1">
      <c r="A54" s="9" t="s">
        <v>49</v>
      </c>
      <c r="B54" s="10" t="s">
        <v>108</v>
      </c>
      <c r="C54" s="11">
        <v>2.0</v>
      </c>
      <c r="D54" s="18">
        <v>450.0</v>
      </c>
      <c r="E54" s="13">
        <f t="shared" si="1"/>
        <v>900</v>
      </c>
      <c r="F54" s="14">
        <f t="shared" si="2"/>
        <v>9.52</v>
      </c>
      <c r="G54" s="11" t="s">
        <v>109</v>
      </c>
      <c r="H54" s="20" t="s">
        <v>24</v>
      </c>
    </row>
    <row r="55" ht="15.75" customHeight="1">
      <c r="A55" s="9" t="s">
        <v>49</v>
      </c>
      <c r="B55" s="10" t="s">
        <v>110</v>
      </c>
      <c r="C55" s="11">
        <v>1.0</v>
      </c>
      <c r="D55" s="12">
        <v>1045.0</v>
      </c>
      <c r="E55" s="13">
        <f t="shared" si="1"/>
        <v>1045</v>
      </c>
      <c r="F55" s="14">
        <f t="shared" si="2"/>
        <v>11.06</v>
      </c>
      <c r="G55" s="19" t="s">
        <v>111</v>
      </c>
      <c r="H55" s="11" t="s">
        <v>27</v>
      </c>
    </row>
    <row r="56" ht="15.75" customHeight="1">
      <c r="A56" s="9" t="s">
        <v>83</v>
      </c>
      <c r="B56" s="15" t="s">
        <v>112</v>
      </c>
      <c r="C56" s="16">
        <v>1.0</v>
      </c>
      <c r="D56" s="18">
        <v>1200.0</v>
      </c>
      <c r="E56" s="13">
        <f t="shared" si="1"/>
        <v>1200</v>
      </c>
      <c r="F56" s="14">
        <f t="shared" si="2"/>
        <v>12.7</v>
      </c>
      <c r="G56" s="16" t="s">
        <v>113</v>
      </c>
      <c r="H56" s="20" t="s">
        <v>24</v>
      </c>
    </row>
    <row r="57" ht="15.75" customHeight="1">
      <c r="A57" s="9" t="s">
        <v>83</v>
      </c>
      <c r="B57" s="10" t="s">
        <v>114</v>
      </c>
      <c r="C57" s="11">
        <v>1.0</v>
      </c>
      <c r="D57" s="18">
        <v>1400.0</v>
      </c>
      <c r="E57" s="13">
        <f t="shared" si="1"/>
        <v>1400</v>
      </c>
      <c r="F57" s="14">
        <f t="shared" si="2"/>
        <v>14.81</v>
      </c>
      <c r="G57" s="11" t="s">
        <v>85</v>
      </c>
      <c r="H57" s="20" t="s">
        <v>24</v>
      </c>
    </row>
    <row r="58" ht="15.75" customHeight="1">
      <c r="A58" s="9" t="s">
        <v>88</v>
      </c>
      <c r="B58" s="22" t="s">
        <v>115</v>
      </c>
      <c r="C58" s="23">
        <v>2.0</v>
      </c>
      <c r="D58" s="24">
        <v>1499.0</v>
      </c>
      <c r="E58" s="13">
        <f t="shared" si="1"/>
        <v>2998</v>
      </c>
      <c r="F58" s="14">
        <f t="shared" si="2"/>
        <v>31.72</v>
      </c>
      <c r="G58" s="25" t="s">
        <v>116</v>
      </c>
      <c r="H58" s="23" t="s">
        <v>27</v>
      </c>
    </row>
    <row r="59" ht="15.75" customHeight="1">
      <c r="A59" s="9" t="s">
        <v>88</v>
      </c>
      <c r="B59" s="22" t="s">
        <v>117</v>
      </c>
      <c r="C59" s="23">
        <v>1.0</v>
      </c>
      <c r="D59" s="24">
        <v>3937.0</v>
      </c>
      <c r="E59" s="13">
        <f t="shared" si="1"/>
        <v>3937</v>
      </c>
      <c r="F59" s="14">
        <f t="shared" si="2"/>
        <v>41.66</v>
      </c>
      <c r="G59" s="25" t="s">
        <v>118</v>
      </c>
      <c r="H59" s="23" t="s">
        <v>27</v>
      </c>
    </row>
    <row r="60" ht="15.75" customHeight="1">
      <c r="A60" s="9" t="s">
        <v>88</v>
      </c>
      <c r="B60" s="22" t="s">
        <v>119</v>
      </c>
      <c r="C60" s="23">
        <v>1.0</v>
      </c>
      <c r="D60" s="24">
        <v>4299.0</v>
      </c>
      <c r="E60" s="13">
        <f t="shared" si="1"/>
        <v>4299</v>
      </c>
      <c r="F60" s="14">
        <f t="shared" si="2"/>
        <v>45.49</v>
      </c>
      <c r="G60" s="25" t="s">
        <v>120</v>
      </c>
      <c r="H60" s="23" t="s">
        <v>27</v>
      </c>
    </row>
    <row r="61" ht="15.75" customHeight="1">
      <c r="A61" s="9" t="s">
        <v>88</v>
      </c>
      <c r="B61" s="22" t="s">
        <v>121</v>
      </c>
      <c r="C61" s="23">
        <v>1.0</v>
      </c>
      <c r="D61" s="24">
        <v>4699.0</v>
      </c>
      <c r="E61" s="13">
        <f t="shared" si="1"/>
        <v>4699</v>
      </c>
      <c r="F61" s="14">
        <f t="shared" si="2"/>
        <v>49.72</v>
      </c>
      <c r="G61" s="25" t="s">
        <v>122</v>
      </c>
      <c r="H61" s="23" t="s">
        <v>27</v>
      </c>
    </row>
    <row r="62" ht="15.75" customHeight="1">
      <c r="A62" s="9" t="s">
        <v>83</v>
      </c>
      <c r="B62" s="10" t="s">
        <v>123</v>
      </c>
      <c r="C62" s="11">
        <v>1.0</v>
      </c>
      <c r="D62" s="18">
        <v>6000.0</v>
      </c>
      <c r="E62" s="13">
        <f t="shared" si="1"/>
        <v>6000</v>
      </c>
      <c r="F62" s="14">
        <f t="shared" si="2"/>
        <v>63.49</v>
      </c>
      <c r="G62" s="11" t="s">
        <v>124</v>
      </c>
      <c r="H62" s="20" t="s">
        <v>24</v>
      </c>
    </row>
    <row r="63" ht="15.75" customHeight="1">
      <c r="A63" s="9" t="s">
        <v>88</v>
      </c>
      <c r="B63" s="22" t="s">
        <v>125</v>
      </c>
      <c r="C63" s="23">
        <v>1.0</v>
      </c>
      <c r="D63" s="24">
        <v>6445.0</v>
      </c>
      <c r="E63" s="13">
        <f t="shared" si="1"/>
        <v>6445</v>
      </c>
      <c r="F63" s="14">
        <f t="shared" si="2"/>
        <v>68.2</v>
      </c>
      <c r="G63" s="25" t="s">
        <v>126</v>
      </c>
      <c r="H63" s="23" t="s">
        <v>27</v>
      </c>
    </row>
    <row r="64" ht="15.75" customHeight="1">
      <c r="A64" s="9" t="s">
        <v>88</v>
      </c>
      <c r="B64" s="22" t="s">
        <v>127</v>
      </c>
      <c r="C64" s="23">
        <v>1.0</v>
      </c>
      <c r="D64" s="18">
        <v>7100.0</v>
      </c>
      <c r="E64" s="13">
        <f t="shared" si="1"/>
        <v>7100</v>
      </c>
      <c r="F64" s="14">
        <f t="shared" si="2"/>
        <v>75.13</v>
      </c>
      <c r="G64" s="25" t="s">
        <v>128</v>
      </c>
      <c r="H64" s="20" t="s">
        <v>24</v>
      </c>
    </row>
    <row r="65" ht="15.75" customHeight="1">
      <c r="A65" s="9" t="s">
        <v>129</v>
      </c>
      <c r="B65" s="10" t="s">
        <v>130</v>
      </c>
      <c r="C65" s="11">
        <v>1.0</v>
      </c>
      <c r="D65" s="12">
        <v>759.0</v>
      </c>
      <c r="E65" s="13">
        <f t="shared" si="1"/>
        <v>759</v>
      </c>
      <c r="F65" s="14">
        <f t="shared" si="2"/>
        <v>8.03</v>
      </c>
      <c r="G65" s="19" t="s">
        <v>131</v>
      </c>
      <c r="H65" s="11" t="s">
        <v>27</v>
      </c>
    </row>
    <row r="66" ht="15.75" customHeight="1">
      <c r="A66" s="9" t="s">
        <v>129</v>
      </c>
      <c r="B66" s="22" t="s">
        <v>132</v>
      </c>
      <c r="C66" s="23">
        <v>1.0</v>
      </c>
      <c r="D66" s="24">
        <v>2710.0</v>
      </c>
      <c r="E66" s="13">
        <f t="shared" si="1"/>
        <v>2710</v>
      </c>
      <c r="F66" s="14">
        <f t="shared" si="2"/>
        <v>28.68</v>
      </c>
      <c r="G66" s="25" t="s">
        <v>133</v>
      </c>
      <c r="H66" s="23" t="s">
        <v>27</v>
      </c>
    </row>
    <row r="67" ht="15.75" customHeight="1">
      <c r="A67" s="26" t="s">
        <v>134</v>
      </c>
      <c r="B67" s="26"/>
      <c r="C67" s="26"/>
      <c r="D67" s="26"/>
      <c r="E67" s="27">
        <f>SUMIFS(E2:E66,A2:A66,"&lt;&gt;Support (not on the robot)")</f>
        <v>53127.62</v>
      </c>
      <c r="F67" s="27">
        <f t="shared" si="2"/>
        <v>562.2</v>
      </c>
      <c r="G67" s="26"/>
      <c r="H67" s="26"/>
    </row>
    <row r="68" ht="15.75" customHeight="1">
      <c r="A68" s="26" t="s">
        <v>135</v>
      </c>
      <c r="B68" s="26"/>
      <c r="C68" s="26"/>
      <c r="D68" s="26"/>
      <c r="E68" s="27">
        <f>SUM(E2:E66)</f>
        <v>56596.62</v>
      </c>
      <c r="F68" s="27">
        <f t="shared" si="2"/>
        <v>598.91</v>
      </c>
      <c r="G68" s="26"/>
      <c r="H68" s="26"/>
    </row>
    <row r="69" ht="15.75" customHeight="1"/>
    <row r="70" ht="15.75" customHeight="1"/>
    <row r="71" ht="15.75" customHeight="1">
      <c r="A71" s="28"/>
      <c r="B71" s="29">
        <v>94.5</v>
      </c>
      <c r="C71" s="30"/>
    </row>
    <row r="72" ht="15.75" customHeight="1">
      <c r="A72" s="28"/>
    </row>
    <row r="73" ht="15.75" customHeight="1">
      <c r="A73" s="28"/>
    </row>
    <row r="74" ht="15.75" customHeight="1">
      <c r="A74" s="28"/>
      <c r="B74" s="30"/>
    </row>
    <row r="75" ht="15.75" customHeight="1">
      <c r="A75" s="31"/>
      <c r="B75" s="30"/>
    </row>
    <row r="76" ht="15.75" customHeight="1">
      <c r="A76" s="31"/>
      <c r="B76" s="30"/>
    </row>
    <row r="77" ht="15.75" customHeight="1"/>
    <row r="78" ht="15.75" customHeight="1">
      <c r="A78" s="28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12"/>
    <hyperlink r:id="rId2" ref="G13"/>
    <hyperlink r:id="rId3" ref="G16"/>
    <hyperlink r:id="rId4" ref="G17"/>
    <hyperlink r:id="rId5" ref="G18"/>
    <hyperlink r:id="rId6" ref="G19"/>
    <hyperlink r:id="rId7" ref="G20"/>
    <hyperlink r:id="rId8" ref="G21"/>
    <hyperlink r:id="rId9" ref="G22"/>
    <hyperlink r:id="rId10" ref="G23"/>
    <hyperlink r:id="rId11" ref="G24"/>
    <hyperlink r:id="rId12" ref="G25"/>
    <hyperlink r:id="rId13" ref="G26"/>
    <hyperlink r:id="rId14" ref="G27"/>
    <hyperlink r:id="rId15" ref="G28"/>
    <hyperlink r:id="rId16" ref="G29"/>
    <hyperlink r:id="rId17" ref="G31"/>
    <hyperlink r:id="rId18" ref="G32"/>
    <hyperlink r:id="rId19" ref="G33"/>
    <hyperlink r:id="rId20" ref="G35"/>
    <hyperlink r:id="rId21" ref="G36"/>
    <hyperlink r:id="rId22" ref="G37"/>
    <hyperlink r:id="rId23" ref="G38"/>
    <hyperlink r:id="rId24" ref="G40"/>
    <hyperlink r:id="rId25" ref="G41"/>
    <hyperlink r:id="rId26" ref="G42"/>
    <hyperlink r:id="rId27" ref="G44"/>
    <hyperlink r:id="rId28" ref="G45"/>
    <hyperlink r:id="rId29" ref="G46"/>
    <hyperlink r:id="rId30" ref="G47"/>
    <hyperlink r:id="rId31" ref="G48"/>
    <hyperlink r:id="rId32" ref="G49"/>
    <hyperlink r:id="rId33" ref="G50"/>
    <hyperlink r:id="rId34" ref="G52"/>
    <hyperlink r:id="rId35" ref="G53"/>
    <hyperlink r:id="rId36" ref="G55"/>
    <hyperlink r:id="rId37" ref="G58"/>
    <hyperlink r:id="rId38" ref="G59"/>
    <hyperlink r:id="rId39" ref="G60"/>
    <hyperlink r:id="rId40" ref="G61"/>
    <hyperlink r:id="rId41" ref="G63"/>
    <hyperlink r:id="rId42" ref="G64"/>
    <hyperlink r:id="rId43" ref="G65"/>
    <hyperlink r:id="rId44" ref="G66"/>
  </hyperlinks>
  <printOptions/>
  <pageMargins bottom="1.0" footer="0.0" header="0.0" left="0.75" right="0.75" top="1.0"/>
  <pageSetup paperSize="9" orientation="portrait"/>
  <drawing r:id="rId45"/>
</worksheet>
</file>